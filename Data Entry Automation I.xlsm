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31adc3b2b567722/Documents/"/>
    </mc:Choice>
  </mc:AlternateContent>
  <xr:revisionPtr revIDLastSave="0" documentId="8_{4868A780-88BF-4697-93E1-412B24E2C9E0}" xr6:coauthVersionLast="47" xr6:coauthVersionMax="47" xr10:uidLastSave="{00000000-0000-0000-0000-000000000000}"/>
  <bookViews>
    <workbookView xWindow="-110" yWindow="-110" windowWidth="19420" windowHeight="10300" xr2:uid="{BA925CC9-1ED1-45B9-BA7C-E4545B55A869}"/>
  </bookViews>
  <sheets>
    <sheet name="Form" sheetId="1" r:id="rId1"/>
    <sheet name="Sheet2" sheetId="2" r:id="rId2"/>
    <sheet name="Data Base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J2" i="2"/>
  <c r="H2" i="2"/>
  <c r="G2" i="2"/>
  <c r="F2" i="2"/>
  <c r="E2" i="2"/>
  <c r="D2" i="2"/>
  <c r="C2" i="2"/>
  <c r="B2" i="2"/>
  <c r="A2" i="2"/>
  <c r="I2" i="2"/>
  <c r="F20" i="1"/>
  <c r="E20" i="1"/>
  <c r="L14" i="1"/>
  <c r="K14" i="1"/>
  <c r="F14" i="1"/>
  <c r="E14" i="1"/>
  <c r="L11" i="1"/>
  <c r="K11" i="1"/>
  <c r="F11" i="1"/>
  <c r="E11" i="1"/>
  <c r="L8" i="1"/>
  <c r="K8" i="1"/>
  <c r="F8" i="1"/>
  <c r="E8" i="1"/>
  <c r="L5" i="1"/>
  <c r="K5" i="1"/>
  <c r="F5" i="1"/>
  <c r="E5" i="1"/>
  <c r="C6" i="2" l="1"/>
</calcChain>
</file>

<file path=xl/sharedStrings.xml><?xml version="1.0" encoding="utf-8"?>
<sst xmlns="http://schemas.openxmlformats.org/spreadsheetml/2006/main" count="46" uniqueCount="34">
  <si>
    <t>EMP ID :</t>
  </si>
  <si>
    <t>EMAIL :</t>
  </si>
  <si>
    <t>DOB :</t>
  </si>
  <si>
    <t>AADHAR NO</t>
  </si>
  <si>
    <t>PHONE :</t>
  </si>
  <si>
    <t>NAME :</t>
  </si>
  <si>
    <t>City :</t>
  </si>
  <si>
    <t>STATE :</t>
  </si>
  <si>
    <t>GENDER :</t>
  </si>
  <si>
    <t xml:space="preserve">         Male               Female</t>
  </si>
  <si>
    <t>JOINING DATE :</t>
  </si>
  <si>
    <t xml:space="preserve">      Terms &amp; Conditions</t>
  </si>
  <si>
    <t xml:space="preserve">Write your Terms &amp; Condition Here in your details </t>
  </si>
  <si>
    <t>EMP ID</t>
  </si>
  <si>
    <t>Name</t>
  </si>
  <si>
    <t>Email</t>
  </si>
  <si>
    <t>Aadhar</t>
  </si>
  <si>
    <t>Phone</t>
  </si>
  <si>
    <t>Dob</t>
  </si>
  <si>
    <t>City</t>
  </si>
  <si>
    <t>State</t>
  </si>
  <si>
    <t>Gender</t>
  </si>
  <si>
    <t>Joining Date</t>
  </si>
  <si>
    <t>Clear</t>
  </si>
  <si>
    <t>Submit</t>
  </si>
  <si>
    <t>Deepak</t>
  </si>
  <si>
    <t>abc@gmail.com</t>
  </si>
  <si>
    <t>91 64536272</t>
  </si>
  <si>
    <t>UP</t>
  </si>
  <si>
    <t>Noida</t>
  </si>
  <si>
    <t>Male</t>
  </si>
  <si>
    <t>Vashu</t>
  </si>
  <si>
    <t>vashu@gmail.com</t>
  </si>
  <si>
    <t>Gaziabad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</si>
</sst>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 2"/>
      <family val="1"/>
      <charset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5" fillId="2" borderId="0" xfId="0" applyFont="1" applyFill="1"/>
    <xf numFmtId="0" fontId="2" fillId="0" borderId="0" xfId="0" applyFont="1" applyAlignment="1">
      <alignment vertical="top"/>
    </xf>
    <xf numFmtId="0" fontId="2" fillId="0" borderId="0" xfId="0" applyFont="1"/>
    <xf numFmtId="0" fontId="1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4" fontId="0" fillId="0" borderId="0" xfId="0" applyNumberFormat="1"/>
    <xf numFmtId="0" fontId="2" fillId="0" borderId="0" xfId="0" applyFont="1"/>
    <xf numFmtId="0" fontId="0" fillId="2" borderId="0" xfId="0" applyFill="1" applyAlignment="1">
      <alignment horizontal="center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0" fontId="3" fillId="0" borderId="0" xfId="0" applyFont="1"/>
    <xf numFmtId="0" fontId="6" fillId="0" borderId="0" xfId="0" applyFont="1" applyAlignment="1">
      <alignment horizontal="left" vertical="top" wrapText="1"/>
    </xf>
    <xf numFmtId="0" fontId="7" fillId="2" borderId="0" xfId="1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numFmt numFmtId="164" formatCode="yyyy\-mm\-dd;@"/>
    </dxf>
    <dxf>
      <numFmt numFmtId="164" formatCode="yyyy\-mm\-dd;@"/>
    </dxf>
    <dxf>
      <font>
        <b/>
        <i val="0"/>
        <color theme="0"/>
      </font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fmlaLink="$P$17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CheckBox" checked="Checked" fmlaLink="$P$1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44450</xdr:colOff>
          <xdr:row>16</xdr:row>
          <xdr:rowOff>0</xdr:rowOff>
        </xdr:from>
        <xdr:to>
          <xdr:col>2</xdr:col>
          <xdr:colOff>63500</xdr:colOff>
          <xdr:row>16</xdr:row>
          <xdr:rowOff>171450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16</xdr:row>
          <xdr:rowOff>12700</xdr:rowOff>
        </xdr:from>
        <xdr:to>
          <xdr:col>3</xdr:col>
          <xdr:colOff>279400</xdr:colOff>
          <xdr:row>17</xdr:row>
          <xdr:rowOff>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15</xdr:row>
          <xdr:rowOff>12700</xdr:rowOff>
        </xdr:from>
        <xdr:to>
          <xdr:col>10</xdr:col>
          <xdr:colOff>63500</xdr:colOff>
          <xdr:row>16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7055</xdr:colOff>
          <xdr:row>20</xdr:row>
          <xdr:rowOff>155223</xdr:rowOff>
        </xdr:from>
        <xdr:to>
          <xdr:col>2</xdr:col>
          <xdr:colOff>13405</xdr:colOff>
          <xdr:row>22</xdr:row>
          <xdr:rowOff>35278</xdr:rowOff>
        </xdr:to>
        <xdr:pic macro="[0]!clear">
          <xdr:nvPicPr>
            <xdr:cNvPr id="3" name="Picture 2">
              <a:extLst>
                <a:ext uri="{FF2B5EF4-FFF2-40B4-BE49-F238E27FC236}">
                  <a16:creationId xmlns:a16="http://schemas.microsoft.com/office/drawing/2014/main" id="{46871CC2-8BE7-606B-E667-4E742644A1A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27" spid="_x0000_s10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13833" y="3824112"/>
              <a:ext cx="613128" cy="24694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35277</xdr:colOff>
          <xdr:row>20</xdr:row>
          <xdr:rowOff>155223</xdr:rowOff>
        </xdr:from>
        <xdr:to>
          <xdr:col>3</xdr:col>
          <xdr:colOff>41628</xdr:colOff>
          <xdr:row>22</xdr:row>
          <xdr:rowOff>42334</xdr:rowOff>
        </xdr:to>
        <xdr:pic macro="[0]!mac">
          <xdr:nvPicPr>
            <xdr:cNvPr id="4" name="Picture 3">
              <a:extLst>
                <a:ext uri="{FF2B5EF4-FFF2-40B4-BE49-F238E27FC236}">
                  <a16:creationId xmlns:a16="http://schemas.microsoft.com/office/drawing/2014/main" id="{C1D5FAE5-6954-836A-23D3-13C6C85BED3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29" spid="_x0000_s103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48833" y="3824112"/>
              <a:ext cx="613128" cy="25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47F90F-06DE-494B-A61E-20A3D1B0D5CD}" name="Table1" displayName="Table1" ref="A2:J5" totalsRowShown="0">
  <autoFilter ref="A2:J5" xr:uid="{8447F90F-06DE-494B-A61E-20A3D1B0D5CD}"/>
  <tableColumns count="10">
    <tableColumn id="1" xr3:uid="{B81156E8-D9F7-48B4-A06A-2E3C078BD55A}" name="EMP ID"/>
    <tableColumn id="2" xr3:uid="{59C7AF2B-AF26-49C4-A674-839859652F8F}" name="Name"/>
    <tableColumn id="3" xr3:uid="{BE9DA849-449D-4F1A-8BFA-A414234E76E9}" name="Email"/>
    <tableColumn id="4" xr3:uid="{AE8D7216-EFA9-46D5-BAD2-4E0CF7E32541}" name="Aadhar"/>
    <tableColumn id="5" xr3:uid="{9F4AF846-5DC5-46DA-955C-1EBF995E7306}" name="Phone"/>
    <tableColumn id="6" xr3:uid="{128B5B56-A5AE-4EEF-8840-DA3150C57147}" name="Dob" dataDxfId="1"/>
    <tableColumn id="7" xr3:uid="{0BCB6EFA-0DB7-4240-8685-1E10EF5E006D}" name="City"/>
    <tableColumn id="8" xr3:uid="{12215D28-D456-4DD4-ABF5-31E9C8EF460A}" name="State"/>
    <tableColumn id="9" xr3:uid="{0271DBF7-50E7-487E-BE3C-5D4775A5AAD9}" name="Gender"/>
    <tableColumn id="10" xr3:uid="{BD084A15-C688-4844-A919-8F7481EE9650}" name="Joining Dat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69439-65ED-44E8-944A-DDD1B61DFED2}">
  <dimension ref="B2:P29"/>
  <sheetViews>
    <sheetView showGridLines="0" showRowColHeaders="0" tabSelected="1" zoomScale="90" zoomScaleNormal="90" workbookViewId="0">
      <selection activeCell="B5" sqref="B5:D5"/>
    </sheetView>
  </sheetViews>
  <sheetFormatPr defaultRowHeight="14.5" x14ac:dyDescent="0.35"/>
  <cols>
    <col min="5" max="5" width="3.54296875" customWidth="1"/>
    <col min="6" max="6" width="3.1796875" customWidth="1"/>
    <col min="11" max="11" width="5" customWidth="1"/>
    <col min="12" max="12" width="3.6328125" customWidth="1"/>
    <col min="15" max="15" width="45.08984375" customWidth="1"/>
  </cols>
  <sheetData>
    <row r="2" spans="2:16" x14ac:dyDescent="0.35">
      <c r="B2" s="8" t="str">
        <f>IFERROR(IF(VLOOKUP(B5,Table1[#All],1,0)=B5,"This Record Already Exists",""),"")</f>
        <v/>
      </c>
      <c r="C2" s="8"/>
      <c r="D2" s="8"/>
    </row>
    <row r="3" spans="2:16" x14ac:dyDescent="0.35">
      <c r="B3" s="4"/>
    </row>
    <row r="4" spans="2:16" x14ac:dyDescent="0.35">
      <c r="B4" s="1" t="s">
        <v>0</v>
      </c>
      <c r="H4" s="1" t="s">
        <v>5</v>
      </c>
    </row>
    <row r="5" spans="2:16" x14ac:dyDescent="0.35">
      <c r="B5" s="9">
        <v>103</v>
      </c>
      <c r="C5" s="9"/>
      <c r="D5" s="9"/>
      <c r="E5" s="2" t="str">
        <f>IF(ISBLANK(B5),"","P")</f>
        <v>P</v>
      </c>
      <c r="F5" s="3" t="str">
        <f>IF(B5="","*","")</f>
        <v/>
      </c>
      <c r="H5" s="9"/>
      <c r="I5" s="9"/>
      <c r="J5" s="9"/>
      <c r="K5" s="2" t="str">
        <f>IF(ISBLANK(H5),"","P")</f>
        <v/>
      </c>
      <c r="L5" s="3" t="str">
        <f>IF(H5="","*","")</f>
        <v>*</v>
      </c>
    </row>
    <row r="7" spans="2:16" x14ac:dyDescent="0.35">
      <c r="B7" s="1" t="s">
        <v>1</v>
      </c>
      <c r="H7" s="1" t="s">
        <v>3</v>
      </c>
    </row>
    <row r="8" spans="2:16" x14ac:dyDescent="0.35">
      <c r="B8" s="14"/>
      <c r="C8" s="9"/>
      <c r="D8" s="9"/>
      <c r="E8" s="2" t="str">
        <f>IF(ISBLANK(B8),"","P")</f>
        <v/>
      </c>
      <c r="F8" s="3" t="str">
        <f>IF(B8="","*","")</f>
        <v>*</v>
      </c>
      <c r="H8" s="9"/>
      <c r="I8" s="9"/>
      <c r="J8" s="9"/>
      <c r="K8" s="2" t="str">
        <f>IF(ISBLANK(H8),"","P")</f>
        <v/>
      </c>
      <c r="L8" s="3" t="str">
        <f>IF(H8="","*","")</f>
        <v>*</v>
      </c>
    </row>
    <row r="10" spans="2:16" x14ac:dyDescent="0.35">
      <c r="B10" s="1" t="s">
        <v>4</v>
      </c>
      <c r="H10" s="1" t="s">
        <v>2</v>
      </c>
    </row>
    <row r="11" spans="2:16" x14ac:dyDescent="0.35">
      <c r="B11" s="9"/>
      <c r="C11" s="9"/>
      <c r="D11" s="9"/>
      <c r="E11" s="2" t="str">
        <f>IF(ISBLANK(B11),"","P")</f>
        <v/>
      </c>
      <c r="F11" s="3" t="str">
        <f>IF(B11="","*","")</f>
        <v>*</v>
      </c>
      <c r="H11" s="11"/>
      <c r="I11" s="9"/>
      <c r="J11" s="9"/>
      <c r="K11" s="2" t="str">
        <f>IF(ISBLANK(H11),"","P")</f>
        <v/>
      </c>
      <c r="L11" s="3" t="str">
        <f>IF(H11="","*","")</f>
        <v>*</v>
      </c>
    </row>
    <row r="13" spans="2:16" x14ac:dyDescent="0.35">
      <c r="B13" s="1" t="s">
        <v>6</v>
      </c>
      <c r="H13" s="1" t="s">
        <v>7</v>
      </c>
    </row>
    <row r="14" spans="2:16" x14ac:dyDescent="0.35">
      <c r="B14" s="9"/>
      <c r="C14" s="9"/>
      <c r="D14" s="9"/>
      <c r="E14" s="2" t="str">
        <f>IF(OR(B14="",B14="Select City"),"","P")</f>
        <v/>
      </c>
      <c r="F14" s="4" t="str">
        <f>IF(OR(B14="",B14="Select City"),"*","")</f>
        <v>*</v>
      </c>
      <c r="H14" s="9"/>
      <c r="I14" s="9"/>
      <c r="J14" s="9"/>
      <c r="K14" s="2" t="str">
        <f>IF(OR(H14="",H14="Select State"),"","P")</f>
        <v/>
      </c>
      <c r="L14" s="4" t="str">
        <f>IF(OR(H14="",H14="Select State"),"*","")</f>
        <v>*</v>
      </c>
    </row>
    <row r="16" spans="2:16" x14ac:dyDescent="0.35">
      <c r="B16" t="s">
        <v>8</v>
      </c>
      <c r="H16" s="12" t="s">
        <v>11</v>
      </c>
      <c r="I16" s="12"/>
      <c r="J16" s="12"/>
      <c r="K16" s="12"/>
      <c r="P16" t="b">
        <v>1</v>
      </c>
    </row>
    <row r="17" spans="2:16" x14ac:dyDescent="0.35">
      <c r="B17" s="10" t="s">
        <v>9</v>
      </c>
      <c r="C17" s="10"/>
      <c r="D17" s="10"/>
      <c r="E17" s="10"/>
      <c r="H17" s="13" t="s">
        <v>12</v>
      </c>
      <c r="I17" s="13"/>
      <c r="J17" s="13"/>
      <c r="P17">
        <v>1</v>
      </c>
    </row>
    <row r="18" spans="2:16" x14ac:dyDescent="0.35">
      <c r="H18" s="13"/>
      <c r="I18" s="13"/>
      <c r="J18" s="13"/>
    </row>
    <row r="19" spans="2:16" x14ac:dyDescent="0.35">
      <c r="B19" s="1" t="s">
        <v>10</v>
      </c>
      <c r="H19" s="13"/>
      <c r="I19" s="13"/>
      <c r="J19" s="13"/>
    </row>
    <row r="20" spans="2:16" x14ac:dyDescent="0.35">
      <c r="B20" s="11"/>
      <c r="C20" s="9"/>
      <c r="D20" s="9"/>
      <c r="E20" s="2" t="str">
        <f>IF(ISBLANK(B20),"","P")</f>
        <v/>
      </c>
      <c r="F20" s="3" t="str">
        <f>IF(B20="","*","")</f>
        <v>*</v>
      </c>
    </row>
    <row r="27" spans="2:16" x14ac:dyDescent="0.35">
      <c r="B27" s="5" t="s">
        <v>23</v>
      </c>
    </row>
    <row r="29" spans="2:16" x14ac:dyDescent="0.35">
      <c r="B29" s="6" t="s">
        <v>24</v>
      </c>
    </row>
  </sheetData>
  <mergeCells count="13">
    <mergeCell ref="B2:D2"/>
    <mergeCell ref="B14:D14"/>
    <mergeCell ref="H14:J14"/>
    <mergeCell ref="B17:E17"/>
    <mergeCell ref="B20:D20"/>
    <mergeCell ref="H16:K16"/>
    <mergeCell ref="H17:J19"/>
    <mergeCell ref="B5:D5"/>
    <mergeCell ref="H5:J5"/>
    <mergeCell ref="B8:D8"/>
    <mergeCell ref="H8:J8"/>
    <mergeCell ref="B11:D11"/>
    <mergeCell ref="H11:J11"/>
  </mergeCells>
  <dataValidations count="7">
    <dataValidation type="list" allowBlank="1" showInputMessage="1" showErrorMessage="1" errorTitle="Invalid City" error="Please Select City From List" sqref="B14" xr:uid="{23C4F5D7-B89D-4012-BD3E-0B919E94C3B8}">
      <formula1>"Select City, Delhi, Goa, Noida, Gaziabad"</formula1>
    </dataValidation>
    <dataValidation type="list" allowBlank="1" showInputMessage="1" showErrorMessage="1" errorTitle="Invalid State" error="Please Select State From List" sqref="H14:J14" xr:uid="{E5F5DFD8-FDDF-4C7E-9FC1-0496F33C32AE}">
      <formula1>"Select State, Haryana, Bihar,MP,UP"</formula1>
    </dataValidation>
    <dataValidation type="custom" allowBlank="1" showInputMessage="1" showErrorMessage="1" errorTitle="Invalid ID" error="Enter Valid  Employ ID" sqref="B5:D5" xr:uid="{B35F362A-29AF-4DC9-8245-FBA9278FD955}">
      <formula1>AND(ISNUMBER(B5),LEN(B5)=3)</formula1>
    </dataValidation>
    <dataValidation type="custom" allowBlank="1" showInputMessage="1" showErrorMessage="1" sqref="H5:J5" xr:uid="{D1CE3EEC-5018-4428-89BF-408E757FB33C}">
      <formula1>ISTEXT(H5)</formula1>
    </dataValidation>
    <dataValidation type="custom" allowBlank="1" showInputMessage="1" showErrorMessage="1" errorTitle="Invalid Email" error="Please enter Valid Email" sqref="B8:D8" xr:uid="{30F12DF8-A43F-49B7-815C-8CCD7A9C6ABA}">
      <formula1>ISNUMBER(MATCH("*@*.?*",B8,0))</formula1>
    </dataValidation>
    <dataValidation type="custom" allowBlank="1" showInputMessage="1" showErrorMessage="1" sqref="H8:J8" xr:uid="{42E0B3F2-BD38-4C77-AB52-5D02C81C295A}">
      <formula1>AND(ISNUMBER(H8),LEN(H8)=12)</formula1>
    </dataValidation>
    <dataValidation type="date" allowBlank="1" showInputMessage="1" showErrorMessage="1" sqref="H11:J11" xr:uid="{79C87656-352A-424A-BE70-E111ECE46503}">
      <formula1>36526</formula1>
      <formula2>46023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1</xdr:col>
                    <xdr:colOff>44450</xdr:colOff>
                    <xdr:row>16</xdr:row>
                    <xdr:rowOff>0</xdr:rowOff>
                  </from>
                  <to>
                    <xdr:col>2</xdr:col>
                    <xdr:colOff>63500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2</xdr:col>
                    <xdr:colOff>260350</xdr:colOff>
                    <xdr:row>16</xdr:row>
                    <xdr:rowOff>12700</xdr:rowOff>
                  </from>
                  <to>
                    <xdr:col>3</xdr:col>
                    <xdr:colOff>279400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7</xdr:col>
                    <xdr:colOff>12700</xdr:colOff>
                    <xdr:row>15</xdr:row>
                    <xdr:rowOff>12700</xdr:rowOff>
                  </from>
                  <to>
                    <xdr:col>10</xdr:col>
                    <xdr:colOff>63500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B102B1-ECFC-42BE-B1C7-232FEF4255E2}">
            <xm:f>AND($P$16=TRUE,COUNTBLANK(Sheet2!$A$2:$J$2)=0)</xm:f>
            <x14:dxf>
              <font>
                <b/>
                <i val="0"/>
                <color theme="0"/>
              </font>
              <fill>
                <patternFill>
                  <bgColor theme="9" tint="-0.24994659260841701"/>
                </patternFill>
              </fill>
            </x14:dxf>
          </x14:cfRule>
          <xm:sqref>B29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6ABE2-1948-4AC3-988B-DF7A84F49766}">
  <dimension ref="A1:J6"/>
  <sheetViews>
    <sheetView workbookViewId="0">
      <selection activeCell="A2" sqref="A2:J2"/>
    </sheetView>
  </sheetViews>
  <sheetFormatPr defaultRowHeight="14.5" x14ac:dyDescent="0.35"/>
  <cols>
    <col min="10" max="10" width="10.90625" bestFit="1" customWidth="1"/>
  </cols>
  <sheetData>
    <row r="1" spans="1:10" x14ac:dyDescent="0.3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</row>
    <row r="2" spans="1:10" x14ac:dyDescent="0.35">
      <c r="A2">
        <f>IF(Form!B5=0,"",Form!B5)</f>
        <v>103</v>
      </c>
      <c r="B2" t="str">
        <f>IF(Form!H5=0,"",Form!H5)</f>
        <v/>
      </c>
      <c r="C2" t="str">
        <f>IF(Form!B8=0,"",Form!B8)</f>
        <v/>
      </c>
      <c r="D2" t="str">
        <f>IF(Form!H8=0,"",Form!H8)</f>
        <v/>
      </c>
      <c r="E2" t="str">
        <f>IF(Form!B11=0,"",Form!B11)</f>
        <v/>
      </c>
      <c r="F2" t="str">
        <f>IF(Form!H11=0,"",Form!H11)</f>
        <v/>
      </c>
      <c r="G2" t="str">
        <f>IF(Form!B14=0,"",Form!B14)</f>
        <v/>
      </c>
      <c r="H2" t="str">
        <f>IF(Form!H14=0,"",Form!H14)</f>
        <v/>
      </c>
      <c r="I2" t="str">
        <f>IF(Form!P17=1,"Male","Female")</f>
        <v>Male</v>
      </c>
      <c r="J2" t="str">
        <f>IF(Form!B20=0,"",Form!B20)</f>
        <v/>
      </c>
    </row>
    <row r="6" spans="1:10" x14ac:dyDescent="0.35">
      <c r="C6">
        <f>COUNTBLANK(A2:J2)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FBD9-F88A-41EC-89B5-A6D37E20BDC9}">
  <dimension ref="A2:J5"/>
  <sheetViews>
    <sheetView workbookViewId="0">
      <selection activeCell="A3" sqref="A3"/>
    </sheetView>
  </sheetViews>
  <sheetFormatPr defaultRowHeight="14.5" x14ac:dyDescent="0.35"/>
  <cols>
    <col min="1" max="1" width="8.90625" customWidth="1"/>
    <col min="4" max="4" width="8.90625" customWidth="1"/>
    <col min="6" max="6" width="10.08984375" style="7" bestFit="1" customWidth="1"/>
    <col min="9" max="9" width="9" customWidth="1"/>
    <col min="10" max="10" width="13" style="7" customWidth="1"/>
  </cols>
  <sheetData>
    <row r="2" spans="1:10" x14ac:dyDescent="0.35">
      <c r="A2" s="7" t="s">
        <v>13</v>
      </c>
      <c r="B2" t="s">
        <v>14</v>
      </c>
      <c r="C2" t="s">
        <v>15</v>
      </c>
      <c r="D2" t="s">
        <v>16</v>
      </c>
      <c r="E2" t="s">
        <v>17</v>
      </c>
      <c r="F2" s="7" t="s">
        <v>18</v>
      </c>
      <c r="G2" t="s">
        <v>19</v>
      </c>
      <c r="H2" t="s">
        <v>20</v>
      </c>
      <c r="I2" t="s">
        <v>21</v>
      </c>
      <c r="J2" s="7" t="s">
        <v>22</v>
      </c>
    </row>
    <row r="4" spans="1:10" x14ac:dyDescent="0.35">
      <c r="A4">
        <v>101</v>
      </c>
      <c r="B4" t="s">
        <v>25</v>
      </c>
      <c r="C4" t="s">
        <v>26</v>
      </c>
      <c r="D4">
        <v>234535467653</v>
      </c>
      <c r="E4" t="s">
        <v>27</v>
      </c>
      <c r="F4" s="7">
        <v>43831</v>
      </c>
      <c r="G4" t="s">
        <v>29</v>
      </c>
      <c r="H4" t="s">
        <v>28</v>
      </c>
      <c r="I4" t="s">
        <v>30</v>
      </c>
      <c r="J4" s="7">
        <v>43831</v>
      </c>
    </row>
    <row r="5" spans="1:10" x14ac:dyDescent="0.35">
      <c r="A5">
        <v>102</v>
      </c>
      <c r="B5" t="s">
        <v>31</v>
      </c>
      <c r="C5" t="s">
        <v>32</v>
      </c>
      <c r="D5">
        <v>234565743847</v>
      </c>
      <c r="E5">
        <v>913456578</v>
      </c>
      <c r="F5" s="7">
        <v>43466</v>
      </c>
      <c r="G5" t="s">
        <v>33</v>
      </c>
      <c r="H5" t="s">
        <v>28</v>
      </c>
      <c r="I5" t="s">
        <v>30</v>
      </c>
      <c r="J5" s="7">
        <v>44197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Sheet2</vt:lpstr>
      <vt:lpstr>Data 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Vashav Kumar</dc:creator>
  <cp:lastModifiedBy>Puja kumari</cp:lastModifiedBy>
  <dcterms:created xsi:type="dcterms:W3CDTF">2026-07-01T07:37:23Z</dcterms:created>
  <dcterms:modified xsi:type="dcterms:W3CDTF">2026-07-01T09:25:31Z</dcterms:modified>
</cp:coreProperties>
</file>